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UPDATE TRACKER" sheetId="1" state="visible" r:id="rId1"/>
    <sheet name="📋 Setup 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59E0B"/>
      <sz val="18"/>
    </font>
    <font>
      <name val="Calibri"/>
      <color rgb="009CA3AF"/>
      <sz val="9"/>
    </font>
    <font>
      <name val="Calibri"/>
      <b val="1"/>
      <color rgb="00F59E0B"/>
      <sz val="9"/>
    </font>
    <font>
      <name val="Calibri"/>
      <b val="1"/>
      <color rgb="00FFFFFF"/>
      <sz val="9"/>
    </font>
    <font>
      <name val="Calibri"/>
      <b val="1"/>
      <color rgb="00E2E8F0"/>
      <sz val="9"/>
    </font>
    <font>
      <name val="Calibri"/>
      <color rgb="00CCFFCC"/>
      <sz val="9"/>
    </font>
    <font>
      <name val="Calibri"/>
      <color rgb="00FFFFFF"/>
      <sz val="9"/>
    </font>
    <font>
      <name val="Calibri"/>
      <color rgb="00D1D5DB"/>
      <sz val="9"/>
    </font>
    <font>
      <name val="Calibri"/>
      <b val="1"/>
      <color rgb="00F59E0B"/>
      <sz val="14"/>
    </font>
    <font>
      <name val="Calibri"/>
      <color rgb="009CA3AF"/>
      <sz val="10"/>
    </font>
    <font>
      <name val="Calibri"/>
      <color rgb="00E2E8F0"/>
      <sz val="10"/>
    </font>
    <font>
      <name val="Calibri"/>
      <b val="1"/>
      <color rgb="00FFFFFF"/>
      <sz val="10"/>
    </font>
    <font>
      <name val="Calibri"/>
      <b val="1"/>
      <color rgb="00F59E0B"/>
      <sz val="10"/>
    </font>
    <font>
      <name val="Calibri"/>
      <color rgb="006B7280"/>
      <sz val="10"/>
    </font>
  </fonts>
  <fills count="18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1F2937"/>
      </patternFill>
    </fill>
    <fill>
      <patternFill patternType="solid">
        <fgColor rgb="001C2839"/>
      </patternFill>
    </fill>
    <fill>
      <patternFill patternType="solid">
        <fgColor rgb="000D47A1"/>
      </patternFill>
    </fill>
    <fill>
      <patternFill patternType="solid">
        <fgColor rgb="000891B2"/>
      </patternFill>
    </fill>
    <fill>
      <patternFill patternType="solid">
        <fgColor rgb="007C3AED"/>
      </patternFill>
    </fill>
    <fill>
      <patternFill patternType="solid">
        <fgColor rgb="00065F46"/>
      </patternFill>
    </fill>
    <fill>
      <patternFill patternType="solid">
        <fgColor rgb="00374151"/>
      </patternFill>
    </fill>
    <fill>
      <patternFill patternType="solid">
        <fgColor rgb="00166534"/>
      </patternFill>
    </fill>
    <fill>
      <patternFill patternType="solid">
        <fgColor rgb="000F172A"/>
      </patternFill>
    </fill>
    <fill>
      <patternFill patternType="solid">
        <fgColor rgb="00004D40"/>
      </patternFill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FF4444"/>
      </patternFill>
    </fill>
    <fill>
      <patternFill patternType="solid">
        <fgColor rgb="005D4037"/>
      </patternFill>
    </fill>
    <fill>
      <patternFill patternType="solid">
        <fgColor rgb="001A2332"/>
      </patternFill>
    </fill>
  </fills>
  <borders count="2">
    <border>
      <left/>
      <right/>
      <top/>
      <bottom/>
      <diagonal/>
    </border>
    <border>
      <left style="thin">
        <color rgb="00374151"/>
      </left>
      <right style="thin">
        <color rgb="00374151"/>
      </right>
      <top style="thin">
        <color rgb="00374151"/>
      </top>
      <bottom style="thin">
        <color rgb="00374151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vertical="center" wrapText="1"/>
    </xf>
    <xf numFmtId="0" fontId="7" fillId="13" borderId="1" applyAlignment="1" pivotButton="0" quotePrefix="0" xfId="0">
      <alignment vertical="center" wrapText="1"/>
    </xf>
    <xf numFmtId="0" fontId="7" fillId="14" borderId="1" applyAlignment="1" pivotButton="0" quotePrefix="0" xfId="0">
      <alignment vertical="center" wrapText="1"/>
    </xf>
    <xf numFmtId="0" fontId="7" fillId="15" borderId="1" applyAlignment="1" pivotButton="0" quotePrefix="0" xfId="0">
      <alignment vertical="center" wrapText="1"/>
    </xf>
    <xf numFmtId="0" fontId="7" fillId="16" borderId="1" applyAlignment="1" pivotButton="0" quotePrefix="0" xfId="0">
      <alignment vertical="center" wrapText="1"/>
    </xf>
    <xf numFmtId="0" fontId="8" fillId="17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vertical="center" wrapText="1"/>
    </xf>
    <xf numFmtId="0" fontId="10" fillId="3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12" fillId="5" borderId="0" applyAlignment="1" pivotButton="0" quotePrefix="0" xfId="0">
      <alignment vertical="center" wrapText="1"/>
    </xf>
    <xf numFmtId="0" fontId="13" fillId="8" borderId="0" applyAlignment="1" pivotButton="0" quotePrefix="0" xfId="0">
      <alignment vertical="center" wrapText="1"/>
    </xf>
    <xf numFmtId="0" fontId="12" fillId="9" borderId="0" applyAlignment="1" pivotButton="0" quotePrefix="0" xfId="0">
      <alignment vertical="center" wrapText="1"/>
    </xf>
    <xf numFmtId="0" fontId="12" fillId="6" borderId="0" applyAlignment="1" pivotButton="0" quotePrefix="0" xfId="0">
      <alignment vertical="center" wrapText="1"/>
    </xf>
    <xf numFmtId="0" fontId="12" fillId="7" borderId="0" applyAlignment="1" pivotButton="0" quotePrefix="0" xfId="0">
      <alignment vertical="center" wrapText="1"/>
    </xf>
    <xf numFmtId="0" fontId="14" fillId="11" borderId="0" applyAlignment="1" pivotButton="0" quotePrefix="0" xfId="0">
      <alignment vertical="center" wrapText="1"/>
    </xf>
  </cellXfs>
  <cellStyles count="1">
    <cellStyle name="Normal" xfId="0" builtinId="0" hidden="0"/>
  </cellStyles>
  <dxfs count="7">
    <dxf>
      <font>
        <color rgb="00FFFFFF"/>
      </font>
      <fill>
        <patternFill>
          <bgColor rgb="00FF4444"/>
        </patternFill>
      </fill>
    </dxf>
    <dxf>
      <font>
        <color rgb="00FFFFFF"/>
      </font>
      <fill>
        <patternFill>
          <bgColor rgb="001565C0"/>
        </patternFill>
      </fill>
    </dxf>
    <dxf>
      <font>
        <color rgb="00FFFFFF"/>
      </font>
      <fill>
        <patternFill>
          <bgColor rgb="005D4037"/>
        </patternFill>
      </fill>
    </dxf>
    <dxf>
      <font>
        <color rgb="00FFFFFF"/>
      </font>
      <fill>
        <patternFill>
          <bgColor rgb="006A1B9A"/>
        </patternFill>
      </fill>
    </dxf>
    <dxf>
      <font>
        <color rgb="00FFFFFF"/>
      </font>
      <fill>
        <patternFill>
          <bgColor rgb="002E7D32"/>
        </patternFill>
      </fill>
    </dxf>
    <dxf>
      <font>
        <color rgb="00CCFFCC"/>
      </font>
      <fill>
        <patternFill>
          <bgColor rgb="00004D40"/>
        </patternFill>
      </fill>
    </dxf>
    <dxf>
      <font>
        <color rgb="00CFD8DC"/>
      </font>
      <fill>
        <patternFill>
          <bgColor rgb="0037474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59E0B"/>
    <outlinePr summaryBelow="1" summaryRight="1"/>
    <pageSetUpPr/>
  </sheetPr>
  <dimension ref="A1:AH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14" customWidth="1" min="4" max="4"/>
    <col width="12" customWidth="1" min="5" max="5"/>
    <col width="14" customWidth="1" min="6" max="6"/>
    <col width="13" customWidth="1" min="7" max="7"/>
    <col width="17" customWidth="1" min="8" max="8"/>
    <col width="15" customWidth="1" min="9" max="9"/>
    <col width="20" customWidth="1" min="10" max="10"/>
    <col width="12" customWidth="1" min="11" max="11"/>
    <col width="11" customWidth="1" min="12" max="12"/>
    <col width="11" customWidth="1" min="13" max="13"/>
    <col width="11" customWidth="1" min="14" max="14"/>
    <col width="7" customWidth="1" min="15" max="15"/>
    <col width="18" customWidth="1" min="16" max="16"/>
    <col width="10" customWidth="1" min="17" max="17"/>
    <col width="10" customWidth="1" min="18" max="18"/>
    <col width="28" customWidth="1" min="19" max="19"/>
    <col width="28" customWidth="1" min="20" max="20"/>
    <col width="22" customWidth="1" min="21" max="21"/>
    <col width="12" customWidth="1" min="22" max="22"/>
    <col width="12" customWidth="1" min="23" max="23"/>
    <col width="10" customWidth="1" min="24" max="24"/>
    <col width="10" customWidth="1" min="25" max="25"/>
    <col width="12" customWidth="1" min="26" max="26"/>
    <col width="14" customWidth="1" min="27" max="27"/>
    <col width="12" customWidth="1" min="28" max="28"/>
    <col width="12" customWidth="1" min="29" max="29"/>
    <col width="12" customWidth="1" min="30" max="30"/>
    <col width="11" customWidth="1" min="31" max="31"/>
    <col width="13" customWidth="1" min="32" max="32"/>
    <col width="17" customWidth="1" min="33" max="33"/>
    <col width="12" customWidth="1" min="34" max="34"/>
  </cols>
  <sheetData>
    <row r="1" ht="38" customHeight="1">
      <c r="A1" s="1" t="inlineStr">
        <is>
          <t>🦅  Falcon Garage  |  ورشة فالكون  —  Job Update Tracker</t>
        </is>
      </c>
    </row>
    <row r="2" ht="20" customHeight="1">
      <c r="A2" s="2" t="inlineStr">
        <is>
          <t>📞 +974 4486 2018 | 7072 5811 | 7003 3723 | 7731 8043   🌐 www.falqatar.com   ✉ info@falqatar.com   📍 Street 47, Bldg 190, Zone 57, Industrial Area, Doha - Qatar</t>
        </is>
      </c>
    </row>
    <row r="3" ht="20" customHeight="1">
      <c r="A3" s="3" t="inlineStr">
        <is>
          <t>🔧  JOB INFORMATION</t>
        </is>
      </c>
      <c r="H3" s="4" t="inlineStr">
        <is>
          <t>👤  CUSTOMER  · العميل</t>
        </is>
      </c>
      <c r="L3" s="5" t="inlineStr">
        <is>
          <t>🚗  VEHICLE  · المركبة</t>
        </is>
      </c>
      <c r="S3" s="6" t="inlineStr">
        <is>
          <t>🔧  COMPLAINT &amp; WORK · الشكوى</t>
        </is>
      </c>
      <c r="V3" s="7" t="inlineStr">
        <is>
          <t>💰  FINANCIALS · المالية (QAR)</t>
        </is>
      </c>
      <c r="AC3" s="8" t="inlineStr">
        <is>
          <t>📋  ADMIN</t>
        </is>
      </c>
      <c r="AG3" s="9" t="inlineStr">
        <is>
          <t>📱  COMMUNICATION</t>
        </is>
      </c>
    </row>
    <row r="4" ht="32" customHeight="1">
      <c r="A4" s="10" t="inlineStr">
        <is>
          <t>Job ID</t>
        </is>
      </c>
      <c r="B4" s="10" t="inlineStr">
        <is>
          <t>Date In</t>
        </is>
      </c>
      <c r="C4" s="10" t="inlineStr">
        <is>
          <t>Time In</t>
        </is>
      </c>
      <c r="D4" s="10" t="inlineStr">
        <is>
          <t>Status</t>
        </is>
      </c>
      <c r="E4" s="10" t="inlineStr">
        <is>
          <t>Priority</t>
        </is>
      </c>
      <c r="F4" s="10" t="inlineStr">
        <is>
          <t>Job Type</t>
        </is>
      </c>
      <c r="G4" s="10" t="inlineStr">
        <is>
          <t>Technician</t>
        </is>
      </c>
      <c r="H4" s="10" t="inlineStr">
        <is>
          <t>Customer Name</t>
        </is>
      </c>
      <c r="I4" s="10" t="inlineStr">
        <is>
          <t>Phone</t>
        </is>
      </c>
      <c r="J4" s="10" t="inlineStr">
        <is>
          <t>Email</t>
        </is>
      </c>
      <c r="K4" s="10" t="inlineStr">
        <is>
          <t>Customer ID</t>
        </is>
      </c>
      <c r="L4" s="10" t="inlineStr">
        <is>
          <t>Plate No.</t>
        </is>
      </c>
      <c r="M4" s="10" t="inlineStr">
        <is>
          <t>Make</t>
        </is>
      </c>
      <c r="N4" s="10" t="inlineStr">
        <is>
          <t>Model</t>
        </is>
      </c>
      <c r="O4" s="10" t="inlineStr">
        <is>
          <t>Year</t>
        </is>
      </c>
      <c r="P4" s="10" t="inlineStr">
        <is>
          <t>VIN</t>
        </is>
      </c>
      <c r="Q4" s="10" t="inlineStr">
        <is>
          <t>Odometer</t>
        </is>
      </c>
      <c r="R4" s="10" t="inlineStr">
        <is>
          <t>Veh Type</t>
        </is>
      </c>
      <c r="S4" s="10" t="inlineStr">
        <is>
          <t>Complaint / Fault</t>
        </is>
      </c>
      <c r="T4" s="10" t="inlineStr">
        <is>
          <t>Work Done</t>
        </is>
      </c>
      <c r="U4" s="10" t="inlineStr">
        <is>
          <t>Parts Used</t>
        </is>
      </c>
      <c r="V4" s="10" t="inlineStr">
        <is>
          <t>Parts (QAR)</t>
        </is>
      </c>
      <c r="W4" s="10" t="inlineStr">
        <is>
          <t>Labour (QAR)</t>
        </is>
      </c>
      <c r="X4" s="10" t="inlineStr">
        <is>
          <t>Discount (QAR)</t>
        </is>
      </c>
      <c r="Y4" s="10" t="inlineStr">
        <is>
          <t>VAT (QAR)</t>
        </is>
      </c>
      <c r="Z4" s="10" t="inlineStr">
        <is>
          <t>Total (QAR)</t>
        </is>
      </c>
      <c r="AA4" s="10" t="inlineStr">
        <is>
          <t>Payment Method</t>
        </is>
      </c>
      <c r="AB4" s="10" t="inlineStr">
        <is>
          <t>Pay Status</t>
        </is>
      </c>
      <c r="AC4" s="10" t="inlineStr">
        <is>
          <t>Estimate Ref</t>
        </is>
      </c>
      <c r="AD4" s="10" t="inlineStr">
        <is>
          <t>Invoice Ref</t>
        </is>
      </c>
      <c r="AE4" s="10" t="inlineStr">
        <is>
          <t>Date Out</t>
        </is>
      </c>
      <c r="AF4" s="10" t="inlineStr">
        <is>
          <t>Approved By</t>
        </is>
      </c>
      <c r="AG4" s="10" t="inlineStr">
        <is>
          <t>WhatsApp</t>
        </is>
      </c>
      <c r="AH4" s="10" t="inlineStr">
        <is>
          <t>Alert Sent</t>
        </is>
      </c>
    </row>
    <row r="5" ht="20" customHeight="1">
      <c r="A5" s="11" t="inlineStr">
        <is>
          <t>JC-2026-001</t>
        </is>
      </c>
      <c r="B5" s="11" t="inlineStr">
        <is>
          <t>21/05/2026</t>
        </is>
      </c>
      <c r="C5" s="11" t="inlineStr">
        <is>
          <t>08:30</t>
        </is>
      </c>
      <c r="D5" s="11" t="inlineStr">
        <is>
          <t>✅ Delivered</t>
        </is>
      </c>
      <c r="E5" s="11" t="inlineStr">
        <is>
          <t>🟢 NORMAL</t>
        </is>
      </c>
      <c r="F5" s="11" t="inlineStr">
        <is>
          <t>Oil Change</t>
        </is>
      </c>
      <c r="G5" s="11" t="inlineStr">
        <is>
          <t>Ahmed Al-Rashidi</t>
        </is>
      </c>
      <c r="H5" s="11" t="inlineStr">
        <is>
          <t>Mohammed Al-Hamad</t>
        </is>
      </c>
      <c r="I5" s="11" t="inlineStr">
        <is>
          <t>+974 5512 3456</t>
        </is>
      </c>
      <c r="J5" s="11" t="inlineStr">
        <is>
          <t>m.alhamad@email.com</t>
        </is>
      </c>
      <c r="K5" s="11" t="inlineStr">
        <is>
          <t>QID-28843721</t>
        </is>
      </c>
      <c r="L5" s="11" t="inlineStr">
        <is>
          <t>A 12345</t>
        </is>
      </c>
      <c r="M5" s="11" t="inlineStr">
        <is>
          <t>Toyota</t>
        </is>
      </c>
      <c r="N5" s="11" t="inlineStr">
        <is>
          <t>Land Cruiser</t>
        </is>
      </c>
      <c r="O5" s="11" t="inlineStr">
        <is>
          <t>2022</t>
        </is>
      </c>
      <c r="P5" s="11" t="inlineStr">
        <is>
          <t>JTMCV02J204045321</t>
        </is>
      </c>
      <c r="Q5" s="11" t="inlineStr">
        <is>
          <t>62000 km</t>
        </is>
      </c>
      <c r="R5" s="11" t="inlineStr">
        <is>
          <t>SUV</t>
        </is>
      </c>
      <c r="S5" s="11" t="inlineStr">
        <is>
          <t>Routine oil change &amp; filter</t>
        </is>
      </c>
      <c r="T5" s="11" t="inlineStr">
        <is>
          <t>Completed oil change, replaced filter</t>
        </is>
      </c>
      <c r="U5" s="11" t="inlineStr">
        <is>
          <t>Engine oil 5L, oil filter</t>
        </is>
      </c>
      <c r="V5" s="11" t="n">
        <v>350</v>
      </c>
      <c r="W5" s="11" t="n">
        <v>150</v>
      </c>
      <c r="X5" s="11" t="n">
        <v>0</v>
      </c>
      <c r="Y5" s="11">
        <f>IF(V5+W5&gt;0,ROUND(MAX(0,V5+W5-X5)*0.05,2),0)</f>
        <v/>
      </c>
      <c r="Z5" s="11">
        <f>IF(V5+W5&gt;0,ROUND(MAX(0,V5+W5-X5)+Y5,2),0)</f>
        <v/>
      </c>
      <c r="AA5" s="11" t="inlineStr">
        <is>
          <t>Cash</t>
        </is>
      </c>
      <c r="AB5" s="11" t="inlineStr">
        <is>
          <t>Pending</t>
        </is>
      </c>
      <c r="AC5" s="11" t="inlineStr">
        <is>
          <t>EST-001</t>
        </is>
      </c>
      <c r="AD5" s="11" t="inlineStr">
        <is>
          <t>INV-001</t>
        </is>
      </c>
      <c r="AE5" s="11" t="inlineStr">
        <is>
          <t>21/05/2026</t>
        </is>
      </c>
      <c r="AF5" s="11" t="inlineStr">
        <is>
          <t>Ahmed Al-Rashidi</t>
        </is>
      </c>
      <c r="AG5" s="11">
        <f>IF(I5="","",HYPERLINK("https://wa.me/974"&amp;REGEXREPLACE(I5,"[^0-9]","")&amp;"?text="&amp;ENCODEURL("Dear "&amp;H5&amp;", your vehicle ("&amp;M5&amp;" "&amp;N5&amp;" | Plate: "&amp;L5&amp;") — Job: "&amp;A5&amp;" | Status: "&amp;D5&amp;" | Total: QAR "&amp;Z5&amp;". Thank you — Falcon Garage, Doha +974 4486 2018"),"📱 WhatsApp"))</f>
        <v/>
      </c>
      <c r="AH5" s="11" t="n"/>
    </row>
    <row r="6" ht="20" customHeight="1">
      <c r="A6" s="12" t="inlineStr">
        <is>
          <t>JC-2026-002</t>
        </is>
      </c>
      <c r="B6" s="12" t="inlineStr">
        <is>
          <t>21/05/2026</t>
        </is>
      </c>
      <c r="C6" s="12" t="inlineStr">
        <is>
          <t>09:15</t>
        </is>
      </c>
      <c r="D6" s="12" t="inlineStr">
        <is>
          <t>🟢 Ready</t>
        </is>
      </c>
      <c r="E6" s="12" t="inlineStr">
        <is>
          <t>🔴 URGENT</t>
        </is>
      </c>
      <c r="F6" s="12" t="inlineStr">
        <is>
          <t>AC Repair</t>
        </is>
      </c>
      <c r="G6" s="12" t="inlineStr">
        <is>
          <t>Khalid Al-Sayed</t>
        </is>
      </c>
      <c r="H6" s="12" t="inlineStr">
        <is>
          <t>Sarah Johnson</t>
        </is>
      </c>
      <c r="I6" s="12" t="inlineStr">
        <is>
          <t>+974 6623 4567</t>
        </is>
      </c>
      <c r="J6" s="12" t="inlineStr">
        <is>
          <t>s.johnson@gmail.com</t>
        </is>
      </c>
      <c r="K6" s="12" t="inlineStr">
        <is>
          <t>QID-39124568</t>
        </is>
      </c>
      <c r="L6" s="12" t="inlineStr">
        <is>
          <t>B 67890</t>
        </is>
      </c>
      <c r="M6" s="12" t="inlineStr">
        <is>
          <t>Nissan</t>
        </is>
      </c>
      <c r="N6" s="12" t="inlineStr">
        <is>
          <t>Patrol</t>
        </is>
      </c>
      <c r="O6" s="12" t="inlineStr">
        <is>
          <t>2020</t>
        </is>
      </c>
      <c r="P6" s="12" t="inlineStr">
        <is>
          <t>JN8AY2ND5L9760412</t>
        </is>
      </c>
      <c r="Q6" s="12" t="inlineStr">
        <is>
          <t>45200 km</t>
        </is>
      </c>
      <c r="R6" s="12" t="inlineStr">
        <is>
          <t>SUV</t>
        </is>
      </c>
      <c r="S6" s="12" t="inlineStr">
        <is>
          <t>AC not cooling at all</t>
        </is>
      </c>
      <c r="T6" s="12" t="inlineStr">
        <is>
          <t>Replaced compressor &amp; recharged</t>
        </is>
      </c>
      <c r="U6" s="12" t="inlineStr">
        <is>
          <t>AC Compressor, refrigerant gas</t>
        </is>
      </c>
      <c r="V6" s="12" t="n">
        <v>1200</v>
      </c>
      <c r="W6" s="12" t="n">
        <v>450</v>
      </c>
      <c r="X6" s="12" t="n">
        <v>0</v>
      </c>
      <c r="Y6" s="12">
        <f>IF(V6+W6&gt;0,ROUND(MAX(0,V6+W6-X6)*0.05,2),0)</f>
        <v/>
      </c>
      <c r="Z6" s="12">
        <f>IF(V6+W6&gt;0,ROUND(MAX(0,V6+W6-X6)+Y6,2),0)</f>
        <v/>
      </c>
      <c r="AA6" s="12" t="inlineStr">
        <is>
          <t>Card</t>
        </is>
      </c>
      <c r="AB6" s="12" t="inlineStr">
        <is>
          <t>Pending</t>
        </is>
      </c>
      <c r="AC6" s="12" t="inlineStr">
        <is>
          <t>EST-002</t>
        </is>
      </c>
      <c r="AD6" s="12" t="inlineStr">
        <is>
          <t>INV-002</t>
        </is>
      </c>
      <c r="AE6" s="12" t="n"/>
      <c r="AF6" s="12" t="inlineStr">
        <is>
          <t>Khalid Al-Sayed</t>
        </is>
      </c>
      <c r="AG6" s="12">
        <f>IF(I6="","",HYPERLINK("https://wa.me/974"&amp;REGEXREPLACE(I6,"[^0-9]","")&amp;"?text="&amp;ENCODEURL("Dear "&amp;H6&amp;", your vehicle ("&amp;M6&amp;" "&amp;N6&amp;" | Plate: "&amp;L6&amp;") — Job: "&amp;A6&amp;" | Status: "&amp;D6&amp;" | Total: QAR "&amp;Z6&amp;". Thank you — Falcon Garage, Doha +974 4486 2018"),"📱 WhatsApp"))</f>
        <v/>
      </c>
      <c r="AH6" s="12" t="n"/>
    </row>
    <row r="7" ht="20" customHeight="1">
      <c r="A7" s="13" t="inlineStr">
        <is>
          <t>JC-2026-003</t>
        </is>
      </c>
      <c r="B7" s="13" t="inlineStr">
        <is>
          <t>21/05/2026</t>
        </is>
      </c>
      <c r="C7" s="13" t="inlineStr">
        <is>
          <t>10:00</t>
        </is>
      </c>
      <c r="D7" s="13" t="inlineStr">
        <is>
          <t>🔵 In Progress</t>
        </is>
      </c>
      <c r="E7" s="13" t="inlineStr">
        <is>
          <t>🟡 HIGH</t>
        </is>
      </c>
      <c r="F7" s="13" t="inlineStr">
        <is>
          <t>Body Repair</t>
        </is>
      </c>
      <c r="G7" s="13" t="inlineStr">
        <is>
          <t>Yousuf Ibrahim</t>
        </is>
      </c>
      <c r="H7" s="13" t="inlineStr">
        <is>
          <t>Ali Karimi</t>
        </is>
      </c>
      <c r="I7" s="13" t="inlineStr">
        <is>
          <t>+974 7734 5678</t>
        </is>
      </c>
      <c r="J7" s="13" t="inlineStr">
        <is>
          <t>ali.karimi@work.qa</t>
        </is>
      </c>
      <c r="K7" s="13" t="inlineStr">
        <is>
          <t>QID-45231890</t>
        </is>
      </c>
      <c r="L7" s="13" t="inlineStr">
        <is>
          <t>C 11111</t>
        </is>
      </c>
      <c r="M7" s="13" t="inlineStr">
        <is>
          <t>BMW</t>
        </is>
      </c>
      <c r="N7" s="13" t="inlineStr">
        <is>
          <t>5 Series</t>
        </is>
      </c>
      <c r="O7" s="13" t="inlineStr">
        <is>
          <t>2021</t>
        </is>
      </c>
      <c r="P7" s="13" t="inlineStr">
        <is>
          <t>WBA13BJ08MCF62831</t>
        </is>
      </c>
      <c r="Q7" s="13" t="inlineStr">
        <is>
          <t>31500 km</t>
        </is>
      </c>
      <c r="R7" s="13" t="inlineStr">
        <is>
          <t>Sedan</t>
        </is>
      </c>
      <c r="S7" s="13" t="inlineStr">
        <is>
          <t>Front bumper damage</t>
        </is>
      </c>
      <c r="T7" s="13" t="inlineStr">
        <is>
          <t>Dent removal in progress</t>
        </is>
      </c>
      <c r="U7" s="13" t="inlineStr">
        <is>
          <t>Bumper paint, filler compound</t>
        </is>
      </c>
      <c r="V7" s="13" t="n">
        <v>800</v>
      </c>
      <c r="W7" s="13" t="n">
        <v>600</v>
      </c>
      <c r="X7" s="13" t="n">
        <v>50</v>
      </c>
      <c r="Y7" s="13">
        <f>IF(V7+W7&gt;0,ROUND(MAX(0,V7+W7-X7)*0.05,2),0)</f>
        <v/>
      </c>
      <c r="Z7" s="13">
        <f>IF(V7+W7&gt;0,ROUND(MAX(0,V7+W7-X7)+Y7,2),0)</f>
        <v/>
      </c>
      <c r="AA7" s="13" t="inlineStr">
        <is>
          <t>Bank Transfer</t>
        </is>
      </c>
      <c r="AB7" s="13" t="inlineStr">
        <is>
          <t>Pending</t>
        </is>
      </c>
      <c r="AC7" s="13" t="inlineStr">
        <is>
          <t>EST-003</t>
        </is>
      </c>
      <c r="AD7" s="13" t="n"/>
      <c r="AE7" s="13" t="n"/>
      <c r="AF7" s="13" t="inlineStr">
        <is>
          <t>Yousuf Ibrahim</t>
        </is>
      </c>
      <c r="AG7" s="13">
        <f>IF(I7="","",HYPERLINK("https://wa.me/974"&amp;REGEXREPLACE(I7,"[^0-9]","")&amp;"?text="&amp;ENCODEURL("Dear "&amp;H7&amp;", your vehicle ("&amp;M7&amp;" "&amp;N7&amp;" | Plate: "&amp;L7&amp;") — Job: "&amp;A7&amp;" | Status: "&amp;D7&amp;" | Total: QAR "&amp;Z7&amp;". Thank you — Falcon Garage, Doha +974 4486 2018"),"📱 WhatsApp"))</f>
        <v/>
      </c>
      <c r="AH7" s="13" t="n"/>
    </row>
    <row r="8" ht="20" customHeight="1">
      <c r="A8" s="14" t="inlineStr">
        <is>
          <t>JC-2026-004</t>
        </is>
      </c>
      <c r="B8" s="14" t="inlineStr">
        <is>
          <t>21/05/2026</t>
        </is>
      </c>
      <c r="C8" s="14" t="inlineStr">
        <is>
          <t>11:30</t>
        </is>
      </c>
      <c r="D8" s="14" t="inlineStr">
        <is>
          <t>🔴 Open</t>
        </is>
      </c>
      <c r="E8" s="14" t="inlineStr">
        <is>
          <t>🟢 NORMAL</t>
        </is>
      </c>
      <c r="F8" s="14" t="inlineStr">
        <is>
          <t>General Service</t>
        </is>
      </c>
      <c r="G8" s="14" t="inlineStr">
        <is>
          <t>Fatima Al-Dosari</t>
        </is>
      </c>
      <c r="H8" s="14" t="inlineStr">
        <is>
          <t>Rania Khalil</t>
        </is>
      </c>
      <c r="I8" s="14" t="inlineStr">
        <is>
          <t>+974 3345 6789</t>
        </is>
      </c>
      <c r="J8" s="14" t="inlineStr">
        <is>
          <t>rania.k@hotmail.com</t>
        </is>
      </c>
      <c r="K8" s="14" t="inlineStr">
        <is>
          <t>QID-56342901</t>
        </is>
      </c>
      <c r="L8" s="14" t="inlineStr">
        <is>
          <t>D 22222</t>
        </is>
      </c>
      <c r="M8" s="14" t="inlineStr">
        <is>
          <t>Mercedes</t>
        </is>
      </c>
      <c r="N8" s="14" t="inlineStr">
        <is>
          <t>C-Class</t>
        </is>
      </c>
      <c r="O8" s="14" t="inlineStr">
        <is>
          <t>2023</t>
        </is>
      </c>
      <c r="P8" s="14" t="inlineStr">
        <is>
          <t>WDD2050422R456789</t>
        </is>
      </c>
      <c r="Q8" s="14" t="inlineStr">
        <is>
          <t>15000 km</t>
        </is>
      </c>
      <c r="R8" s="14" t="inlineStr">
        <is>
          <t>Sedan</t>
        </is>
      </c>
      <c r="S8" s="14" t="inlineStr">
        <is>
          <t>Full service check</t>
        </is>
      </c>
      <c r="T8" s="14" t="inlineStr">
        <is>
          <t>Awaiting technician assignment</t>
        </is>
      </c>
      <c r="U8" s="14" t="inlineStr">
        <is>
          <t>Service kit, brake pads</t>
        </is>
      </c>
      <c r="V8" s="14" t="n">
        <v>500</v>
      </c>
      <c r="W8" s="14" t="n">
        <v>300</v>
      </c>
      <c r="X8" s="14" t="n">
        <v>25</v>
      </c>
      <c r="Y8" s="14">
        <f>IF(V8+W8&gt;0,ROUND(MAX(0,V8+W8-X8)*0.05,2),0)</f>
        <v/>
      </c>
      <c r="Z8" s="14">
        <f>IF(V8+W8&gt;0,ROUND(MAX(0,V8+W8-X8)+Y8,2),0)</f>
        <v/>
      </c>
      <c r="AA8" s="14" t="inlineStr">
        <is>
          <t>Cash</t>
        </is>
      </c>
      <c r="AB8" s="14" t="inlineStr">
        <is>
          <t>Pending</t>
        </is>
      </c>
      <c r="AC8" s="14" t="inlineStr">
        <is>
          <t>EST-004</t>
        </is>
      </c>
      <c r="AD8" s="14" t="n"/>
      <c r="AE8" s="14" t="n"/>
      <c r="AF8" s="14" t="n"/>
      <c r="AG8" s="14">
        <f>IF(I8="","",HYPERLINK("https://wa.me/974"&amp;REGEXREPLACE(I8,"[^0-9]","")&amp;"?text="&amp;ENCODEURL("Dear "&amp;H8&amp;", your vehicle ("&amp;M8&amp;" "&amp;N8&amp;" | Plate: "&amp;L8&amp;") — Job: "&amp;A8&amp;" | Status: "&amp;D8&amp;" | Total: QAR "&amp;Z8&amp;". Thank you — Falcon Garage, Doha +974 4486 2018"),"📱 WhatsApp"))</f>
        <v/>
      </c>
      <c r="AH8" s="14" t="n"/>
    </row>
    <row r="9" ht="20" customHeight="1">
      <c r="A9" s="15" t="inlineStr">
        <is>
          <t>JC-2026-005</t>
        </is>
      </c>
      <c r="B9" s="15" t="inlineStr">
        <is>
          <t>21/05/2026</t>
        </is>
      </c>
      <c r="C9" s="15" t="inlineStr">
        <is>
          <t>13:00</t>
        </is>
      </c>
      <c r="D9" s="15" t="inlineStr">
        <is>
          <t>🔧 Body Shop</t>
        </is>
      </c>
      <c r="E9" s="15" t="inlineStr">
        <is>
          <t>🟡 HIGH</t>
        </is>
      </c>
      <c r="F9" s="15" t="inlineStr">
        <is>
          <t>Tyres / Alignment</t>
        </is>
      </c>
      <c r="G9" s="15" t="inlineStr">
        <is>
          <t>Hassan Al-Mansoor</t>
        </is>
      </c>
      <c r="H9" s="15" t="inlineStr">
        <is>
          <t>James O'Brien</t>
        </is>
      </c>
      <c r="I9" s="15" t="inlineStr">
        <is>
          <t>+974 5567 8901</t>
        </is>
      </c>
      <c r="J9" s="15" t="inlineStr">
        <is>
          <t>james.ob@corp.net</t>
        </is>
      </c>
      <c r="K9" s="15" t="inlineStr">
        <is>
          <t>QID-67453012</t>
        </is>
      </c>
      <c r="L9" s="15" t="inlineStr">
        <is>
          <t>E 33333</t>
        </is>
      </c>
      <c r="M9" s="15" t="inlineStr">
        <is>
          <t>Ford</t>
        </is>
      </c>
      <c r="N9" s="15" t="inlineStr">
        <is>
          <t>F-150</t>
        </is>
      </c>
      <c r="O9" s="15" t="inlineStr">
        <is>
          <t>2019</t>
        </is>
      </c>
      <c r="P9" s="15" t="inlineStr">
        <is>
          <t>1FTEW1E55KKC24680</t>
        </is>
      </c>
      <c r="Q9" s="15" t="inlineStr">
        <is>
          <t>78900 km</t>
        </is>
      </c>
      <c r="R9" s="15" t="inlineStr">
        <is>
          <t>Pick-up</t>
        </is>
      </c>
      <c r="S9" s="15" t="inlineStr">
        <is>
          <t>Wheel alignment &amp; new tyres</t>
        </is>
      </c>
      <c r="T9" s="15" t="inlineStr">
        <is>
          <t>Alignment done, fitting tyres</t>
        </is>
      </c>
      <c r="U9" s="15" t="inlineStr">
        <is>
          <t>4x Michelin LTX tyres</t>
        </is>
      </c>
      <c r="V9" s="15" t="n">
        <v>1800</v>
      </c>
      <c r="W9" s="15" t="n">
        <v>250</v>
      </c>
      <c r="X9" s="15" t="n">
        <v>100</v>
      </c>
      <c r="Y9" s="15">
        <f>IF(V9+W9&gt;0,ROUND(MAX(0,V9+W9-X9)*0.05,2),0)</f>
        <v/>
      </c>
      <c r="Z9" s="15">
        <f>IF(V9+W9&gt;0,ROUND(MAX(0,V9+W9-X9)+Y9,2),0)</f>
        <v/>
      </c>
      <c r="AA9" s="15" t="inlineStr">
        <is>
          <t>Credit</t>
        </is>
      </c>
      <c r="AB9" s="15" t="inlineStr">
        <is>
          <t>Pending</t>
        </is>
      </c>
      <c r="AC9" s="15" t="inlineStr">
        <is>
          <t>EST-005</t>
        </is>
      </c>
      <c r="AD9" s="15" t="n"/>
      <c r="AE9" s="15" t="n"/>
      <c r="AF9" s="15" t="inlineStr">
        <is>
          <t>Hassan Al-Mansoor</t>
        </is>
      </c>
      <c r="AG9" s="15">
        <f>IF(I9="","",HYPERLINK("https://wa.me/974"&amp;REGEXREPLACE(I9,"[^0-9]","")&amp;"?text="&amp;ENCODEURL("Dear "&amp;H9&amp;", your vehicle ("&amp;M9&amp;" "&amp;N9&amp;" | Plate: "&amp;L9&amp;") — Job: "&amp;A9&amp;" | Status: "&amp;D9&amp;" | Total: QAR "&amp;Z9&amp;". Thank you — Falcon Garage, Doha +974 4486 2018"),"📱 WhatsApp"))</f>
        <v/>
      </c>
      <c r="AH9" s="15" t="n"/>
    </row>
    <row r="10" ht="18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</row>
    <row r="11" ht="18" customHeight="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</row>
    <row r="12" ht="18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</row>
    <row r="13" ht="18" customHeight="1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</row>
    <row r="14" ht="18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</row>
    <row r="15" ht="18" customHeight="1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</row>
    <row r="16" ht="18" customHeight="1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</row>
    <row r="17" ht="18" customHeight="1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</row>
    <row r="18" ht="18" customHeight="1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</row>
    <row r="19" ht="18" customHeight="1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</row>
    <row r="20" ht="18" customHeight="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</row>
    <row r="21" ht="18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</row>
    <row r="23" ht="18" customHeight="1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</row>
    <row r="25" ht="18" customHeight="1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</row>
    <row r="27" ht="18" customHeight="1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</row>
    <row r="29" ht="18" customHeight="1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</row>
    <row r="31" ht="18" customHeight="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</row>
    <row r="33" ht="18" customHeight="1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</row>
    <row r="35" ht="18" customHeight="1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</row>
    <row r="37" ht="18" customHeight="1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</row>
    <row r="39" ht="18" customHeight="1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</row>
    <row r="41" ht="18" customHeight="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</row>
    <row r="43" ht="18" customHeight="1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</row>
    <row r="45" ht="18" customHeight="1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</row>
    <row r="47" ht="18" customHeight="1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</row>
    <row r="49" ht="18" customHeight="1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</row>
    <row r="51" ht="18" customHeight="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</row>
    <row r="53" ht="18" customHeight="1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</row>
  </sheetData>
  <mergeCells count="9">
    <mergeCell ref="AG3:AH3"/>
    <mergeCell ref="A2:AH2"/>
    <mergeCell ref="A3:G3"/>
    <mergeCell ref="H3:K3"/>
    <mergeCell ref="V3:AB3"/>
    <mergeCell ref="AC3:AF3"/>
    <mergeCell ref="L3:R3"/>
    <mergeCell ref="A1:AH1"/>
    <mergeCell ref="S3:U3"/>
  </mergeCells>
  <conditionalFormatting sqref="A5:AH504">
    <cfRule type="expression" priority="1" dxfId="0">
      <formula>NOT(ISBLANK($D5))*ISNUMBER(SEARCH("Open",$D5))</formula>
    </cfRule>
    <cfRule type="expression" priority="2" dxfId="1">
      <formula>NOT(ISBLANK($D5))*ISNUMBER(SEARCH("In Progress",$D5))</formula>
    </cfRule>
    <cfRule type="expression" priority="3" dxfId="2">
      <formula>NOT(ISBLANK($D5))*ISNUMBER(SEARCH("Body Shop",$D5))</formula>
    </cfRule>
    <cfRule type="expression" priority="4" dxfId="3">
      <formula>NOT(ISBLANK($D5))*ISNUMBER(SEARCH("QC",$D5))</formula>
    </cfRule>
    <cfRule type="expression" priority="5" dxfId="4">
      <formula>NOT(ISBLANK($D5))*ISNUMBER(SEARCH("Ready",$D5))</formula>
    </cfRule>
    <cfRule type="expression" priority="6" dxfId="5">
      <formula>NOT(ISBLANK($D5))*ISNUMBER(SEARCH("Delivered",$D5))</formula>
    </cfRule>
    <cfRule type="expression" priority="7" dxfId="6">
      <formula>NOT(ISBLANK($D5))*ISNUMBER(SEARCH("On Hold",$D5))</formula>
    </cfRule>
  </conditionalFormatting>
  <dataValidations count="5">
    <dataValidation sqref="D5:D504" showDropDown="0" showInputMessage="0" showErrorMessage="0" allowBlank="1" type="list">
      <formula1>"🔴 Open,🔵 In Progress,🔧 Body Shop,🔍 QC,🟢 Ready,✅ Delivered,⏸ On Hold"</formula1>
    </dataValidation>
    <dataValidation sqref="E5:E504" showDropDown="0" showInputMessage="0" showErrorMessage="0" allowBlank="1" type="list">
      <formula1>"🔴 URGENT,🟡 HIGH,🟢 NORMAL,🔵 LOW"</formula1>
    </dataValidation>
    <dataValidation sqref="F5:F504" showDropDown="0" showInputMessage="0" showErrorMessage="0" allowBlank="1" type="list">
      <formula1>"General Service,Oil Change,Body Repair,Electrical,AC Repair,Tyres / Alignment,Inspection,Custom / Other"</formula1>
    </dataValidation>
    <dataValidation sqref="R5:R504" showDropDown="0" showInputMessage="0" showErrorMessage="0" allowBlank="1" type="list">
      <formula1>"Sedan,SUV,Pick-up,Van,Truck,Motorcycle,Other"</formula1>
    </dataValidation>
    <dataValidation sqref="AB5:AB504" showDropDown="0" showInputMessage="0" showErrorMessage="0" allowBlank="1" type="list">
      <formula1>"Cash,Card,Bank Transfer,Credit,Pending"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4151"/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55" customWidth="1" min="3" max="3"/>
  </cols>
  <sheetData>
    <row r="1" ht="20" customHeight="1">
      <c r="A1" s="18" t="inlineStr"/>
      <c r="B1" s="18" t="inlineStr">
        <is>
          <t>🦅 FALCON GARAGE — SETUP GUIDE</t>
        </is>
      </c>
      <c r="C1" s="18" t="inlineStr"/>
    </row>
    <row r="2" ht="20" customHeight="1">
      <c r="A2" s="19" t="inlineStr"/>
      <c r="B2" s="19" t="inlineStr">
        <is>
          <t>Google Sheets + Apps Script  v3.0</t>
        </is>
      </c>
      <c r="C2" s="19" t="inlineStr"/>
    </row>
    <row r="3" ht="20" customHeight="1">
      <c r="A3" s="20" t="inlineStr"/>
      <c r="B3" s="20" t="inlineStr"/>
      <c r="C3" s="20" t="inlineStr"/>
    </row>
    <row r="4" ht="20" customHeight="1">
      <c r="A4" s="21" t="inlineStr"/>
      <c r="B4" s="21" t="inlineStr">
        <is>
          <t>STEP 1: Upload this file to Google Sheets</t>
        </is>
      </c>
      <c r="C4" s="21" t="inlineStr"/>
    </row>
    <row r="5" ht="20" customHeight="1">
      <c r="A5" s="20" t="inlineStr"/>
      <c r="B5" s="20" t="inlineStr">
        <is>
          <t>1a. Go to sheets.new</t>
        </is>
      </c>
      <c r="C5" s="20" t="inlineStr"/>
    </row>
    <row r="6" ht="20" customHeight="1">
      <c r="A6" s="20" t="inlineStr"/>
      <c r="B6" s="20" t="inlineStr">
        <is>
          <t>1b. File → Import → Upload → select Falcon_Garage_Job_Tracker.xlsx</t>
        </is>
      </c>
      <c r="C6" s="20" t="inlineStr"/>
    </row>
    <row r="7" ht="20" customHeight="1">
      <c r="A7" s="20" t="inlineStr"/>
      <c r="B7" s="20" t="inlineStr">
        <is>
          <t>1c. Choose 'Replace spreadsheet' → Import data</t>
        </is>
      </c>
      <c r="C7" s="20" t="inlineStr"/>
    </row>
    <row r="8" ht="20" customHeight="1">
      <c r="A8" s="20" t="inlineStr"/>
      <c r="B8" s="20" t="inlineStr"/>
      <c r="C8" s="20" t="inlineStr"/>
    </row>
    <row r="9" ht="20" customHeight="1">
      <c r="A9" s="22" t="inlineStr"/>
      <c r="B9" s="22" t="inlineStr">
        <is>
          <t>STEP 2: Add the Apps Script</t>
        </is>
      </c>
      <c r="C9" s="22" t="inlineStr"/>
    </row>
    <row r="10" ht="20" customHeight="1">
      <c r="A10" s="20" t="inlineStr"/>
      <c r="B10" s="20" t="inlineStr">
        <is>
          <t>2a. Extensions → Apps Script</t>
        </is>
      </c>
      <c r="C10" s="20" t="inlineStr"/>
    </row>
    <row r="11" ht="20" customHeight="1">
      <c r="A11" s="20" t="inlineStr"/>
      <c r="B11" s="20" t="inlineStr">
        <is>
          <t>2b. Delete all existing code in Code.gs</t>
        </is>
      </c>
      <c r="C11" s="20" t="inlineStr"/>
    </row>
    <row r="12" ht="20" customHeight="1">
      <c r="A12" s="20" t="inlineStr"/>
      <c r="B12" s="20" t="inlineStr">
        <is>
          <t>2c. Paste the full content of Falcon_Garage_Tracker.gs</t>
        </is>
      </c>
      <c r="C12" s="20" t="inlineStr"/>
    </row>
    <row r="13" ht="20" customHeight="1">
      <c r="A13" s="20" t="inlineStr"/>
      <c r="B13" s="20" t="inlineStr">
        <is>
          <t>2d. Save (Ctrl+S / Cmd+S)</t>
        </is>
      </c>
      <c r="C13" s="20" t="inlineStr"/>
    </row>
    <row r="14" ht="20" customHeight="1">
      <c r="A14" s="20" t="inlineStr"/>
      <c r="B14" s="20" t="inlineStr"/>
      <c r="C14" s="20" t="inlineStr"/>
    </row>
    <row r="15" ht="20" customHeight="1">
      <c r="A15" s="23" t="inlineStr"/>
      <c r="B15" s="23" t="inlineStr">
        <is>
          <t>STEP 3: Run Setup</t>
        </is>
      </c>
      <c r="C15" s="23" t="inlineStr"/>
    </row>
    <row r="16" ht="20" customHeight="1">
      <c r="A16" s="20" t="inlineStr"/>
      <c r="B16" s="20" t="inlineStr">
        <is>
          <t>3a. Back in the spreadsheet, refresh the page (F5)</t>
        </is>
      </c>
      <c r="C16" s="20" t="inlineStr"/>
    </row>
    <row r="17" ht="20" customHeight="1">
      <c r="A17" s="20" t="inlineStr"/>
      <c r="B17" s="20" t="inlineStr">
        <is>
          <t>3b. Click  🦅 Falcon Garage  in the menu bar</t>
        </is>
      </c>
      <c r="C17" s="20" t="inlineStr"/>
    </row>
    <row r="18" ht="20" customHeight="1">
      <c r="A18" s="20" t="inlineStr"/>
      <c r="B18" s="20" t="inlineStr">
        <is>
          <t>3c. Click  ⚙ Setup Sheet (first-time)</t>
        </is>
      </c>
      <c r="C18" s="20" t="inlineStr"/>
    </row>
    <row r="19" ht="20" customHeight="1">
      <c r="A19" s="20" t="inlineStr"/>
      <c r="B19" s="20" t="inlineStr">
        <is>
          <t>3d. Authorise the script when prompted</t>
        </is>
      </c>
      <c r="C19" s="20" t="inlineStr"/>
    </row>
    <row r="20" ht="20" customHeight="1">
      <c r="A20" s="20" t="inlineStr"/>
      <c r="B20" s="20" t="inlineStr"/>
      <c r="C20" s="20" t="inlineStr"/>
    </row>
    <row r="21" ht="20" customHeight="1">
      <c r="A21" s="24" t="inlineStr"/>
      <c r="B21" s="24" t="inlineStr">
        <is>
          <t>DAILY USAGE</t>
        </is>
      </c>
      <c r="C21" s="24" t="inlineStr"/>
    </row>
    <row r="22" ht="20" customHeight="1">
      <c r="A22" s="20" t="inlineStr"/>
      <c r="B22" s="20" t="inlineStr">
        <is>
          <t>• Menu → New Job Card      → auto-generates JC-YYYY-NNN</t>
        </is>
      </c>
      <c r="C22" s="20" t="inlineStr"/>
    </row>
    <row r="23" ht="20" customHeight="1">
      <c r="A23" s="20" t="inlineStr"/>
      <c r="B23" s="20" t="inlineStr">
        <is>
          <t>• Status dropdown          → row colour changes instantly</t>
        </is>
      </c>
      <c r="C23" s="20" t="inlineStr"/>
    </row>
    <row r="24" ht="20" customHeight="1">
      <c r="A24" s="20" t="inlineStr"/>
      <c r="B24" s="20" t="inlineStr">
        <is>
          <t>• 📱 WhatsApp link (col AG)→ opens WhatsApp Web with pre-filled message</t>
        </is>
      </c>
      <c r="C24" s="20" t="inlineStr"/>
    </row>
    <row r="25" ht="20" customHeight="1">
      <c r="A25" s="20" t="inlineStr"/>
      <c r="B25" s="20" t="inlineStr">
        <is>
          <t>• Menu → Email             → branded HTML update to customer</t>
        </is>
      </c>
      <c r="C25" s="20" t="inlineStr"/>
    </row>
    <row r="26" ht="20" customHeight="1">
      <c r="A26" s="20" t="inlineStr"/>
      <c r="B26" s="20" t="inlineStr">
        <is>
          <t>• Menu → Monthly PDF       → saved to Google Drive</t>
        </is>
      </c>
      <c r="C26" s="20" t="inlineStr"/>
    </row>
    <row r="27" ht="20" customHeight="1">
      <c r="A27" s="20" t="inlineStr"/>
      <c r="B27" s="20" t="inlineStr"/>
      <c r="C27" s="20" t="inlineStr"/>
    </row>
    <row r="28" ht="20" customHeight="1">
      <c r="A28" s="25" t="inlineStr"/>
      <c r="B28" s="25" t="inlineStr">
        <is>
          <t>COLUMNS  A–AH  (34 total)</t>
        </is>
      </c>
      <c r="C28" s="25" t="inlineStr"/>
    </row>
    <row r="29" ht="20" customHeight="1">
      <c r="A29" s="20" t="inlineStr"/>
      <c r="B29" s="20" t="inlineStr">
        <is>
          <t>A  Job ID        B  Date In      C  Time In      D  Status       E  Priority</t>
        </is>
      </c>
      <c r="C29" s="20" t="inlineStr"/>
    </row>
    <row r="30" ht="20" customHeight="1">
      <c r="A30" s="20" t="inlineStr"/>
      <c r="B30" s="20" t="inlineStr">
        <is>
          <t>F  Job Type      G  Technician   H  Cust Name    I  Phone        J  Email</t>
        </is>
      </c>
      <c r="C30" s="20" t="inlineStr"/>
    </row>
    <row r="31" ht="20" customHeight="1">
      <c r="A31" s="20" t="inlineStr"/>
      <c r="B31" s="20" t="inlineStr">
        <is>
          <t>K  Cust ID       L  Plate        M  Make         N  Model        O  Year</t>
        </is>
      </c>
      <c r="C31" s="20" t="inlineStr"/>
    </row>
    <row r="32" ht="20" customHeight="1">
      <c r="A32" s="20" t="inlineStr"/>
      <c r="B32" s="20" t="inlineStr">
        <is>
          <t>P  VIN           Q  Odometer     R  Veh Type     S  Complaint    T  Work Done</t>
        </is>
      </c>
      <c r="C32" s="20" t="inlineStr"/>
    </row>
    <row r="33" ht="20" customHeight="1">
      <c r="A33" s="20" t="inlineStr"/>
      <c r="B33" s="20" t="inlineStr">
        <is>
          <t>U  Parts Used    V  Parts QAR    W  Labour QAR   X  Discount     Y  VAT QAR</t>
        </is>
      </c>
      <c r="C33" s="20" t="inlineStr"/>
    </row>
    <row r="34" ht="20" customHeight="1">
      <c r="A34" s="20" t="inlineStr"/>
      <c r="B34" s="20" t="inlineStr">
        <is>
          <t>Z  Total QAR     AA Payment      AB Pay Status   AC Est Ref      AD Inv Ref</t>
        </is>
      </c>
      <c r="C34" s="20" t="inlineStr"/>
    </row>
    <row r="35" ht="20" customHeight="1">
      <c r="A35" s="20" t="inlineStr"/>
      <c r="B35" s="20" t="inlineStr">
        <is>
          <t>AE Date Out      AF Approved By  AG WhatsApp     AH Alert Sent</t>
        </is>
      </c>
      <c r="C35" s="20" t="inlineStr"/>
    </row>
    <row r="36" ht="20" customHeight="1">
      <c r="A36" s="20" t="inlineStr"/>
      <c r="B36" s="20" t="inlineStr"/>
      <c r="C36" s="20" t="inlineStr"/>
    </row>
    <row r="37" ht="20" customHeight="1">
      <c r="A37" s="26" t="inlineStr"/>
      <c r="B37" s="26" t="inlineStr">
        <is>
          <t>Contact: info@falqatar.com  |  www.falqatar.com</t>
        </is>
      </c>
      <c r="C37" s="2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2026-05-21T17:40:45Z</dcterms:created>
  <dcterms:modified xsi:type="dcterms:W3CDTF">2026-05-21T17:40:45Z</dcterms:modified>
</cp:coreProperties>
</file>